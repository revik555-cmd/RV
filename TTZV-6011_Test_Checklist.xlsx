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Ամփոփում" sheetId="1" state="visible" r:id="rId3"/>
    <sheet name="Թեստային դեպքեր" sheetId="2" state="visible" r:id="rId4"/>
    <sheet name="Բաց հարցեր" sheetId="3" state="visible" r:id="rId5"/>
  </sheets>
  <definedNames>
    <definedName function="false" hidden="true" localSheetId="1" name="_xlnm._FilterDatabase" vbProcedure="false">'Թեստային դեպքեր'!$A$1:$O$29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<sst xmlns="http://schemas.openxmlformats.org/spreadsheetml/2006/main" count="395" uniqueCount="275">
  <si>
    <t xml:space="preserve">Թեստավորման ստուգաթերթ – PLUS CLUB, PLUS DIGITAL, STATUS փաթեթների միջին մնացորդի հաշվարկի մեջ պարտատոմսի հաշվի մնացորդի ներառում</t>
  </si>
  <si>
    <t xml:space="preserve">Հայտ (BRD)</t>
  </si>
  <si>
    <t xml:space="preserve">TTZV-6011</t>
  </si>
  <si>
    <t xml:space="preserve">Հիմնական լուծում (կապված BRD)</t>
  </si>
  <si>
    <t xml:space="preserve">TTZV-4447 / LSBANK-994 – STATUS, PLUS CLUB, PLUS DIGITAL փաթեթների ամսական սպասարկման և հավելյալ վճարների գանձման ավտոմատացում</t>
  </si>
  <si>
    <t xml:space="preserve">BRD հեղինակ</t>
  </si>
  <si>
    <t xml:space="preserve">Revik Harutyunyan</t>
  </si>
  <si>
    <t xml:space="preserve">Շահագրգիռ կողմեր</t>
  </si>
  <si>
    <t xml:space="preserve">ՍԾԶՎ, ՑՎՎ, ՍՏԱՏՈՒՍ ՀՍՎ</t>
  </si>
  <si>
    <t xml:space="preserve">Համակարգ</t>
  </si>
  <si>
    <t xml:space="preserve">LSoft</t>
  </si>
  <si>
    <t xml:space="preserve">Ընդունման չափանիշ (BRD §11)</t>
  </si>
  <si>
    <t xml:space="preserve">Պարտատոմսի հաշվի ներառում միջին մնացորդի հաշվարկում</t>
  </si>
  <si>
    <t xml:space="preserve">Պարտատոմսի հաշվառման արժեք</t>
  </si>
  <si>
    <t xml:space="preserve">Անվանական արժեք (համաձայնեցված 16.10.2026, տես «Բաց հարցեր» Q2)</t>
  </si>
  <si>
    <t xml:space="preserve">Թեստային միջավայր</t>
  </si>
  <si>
    <t xml:space="preserve">Լուծման տարբերակ / build</t>
  </si>
  <si>
    <t xml:space="preserve">Թեստավորման ժամանակահատված</t>
  </si>
  <si>
    <t xml:space="preserve">Թեստավորող(ներ)</t>
  </si>
  <si>
    <t xml:space="preserve">Արդյունքների ամփոփում</t>
  </si>
  <si>
    <t xml:space="preserve">Ընդամենը թեստային դեպքեր</t>
  </si>
  <si>
    <t xml:space="preserve">Passed</t>
  </si>
  <si>
    <t xml:space="preserve">Failed</t>
  </si>
  <si>
    <t xml:space="preserve">Blocked</t>
  </si>
  <si>
    <t xml:space="preserve">Not run</t>
  </si>
  <si>
    <t xml:space="preserve">Չլրացված կարգավիճակ</t>
  </si>
  <si>
    <t xml:space="preserve">Կրիտիկական դեպքեր, որոնք Passed չեն</t>
  </si>
  <si>
    <t xml:space="preserve">Ընդհանուր եզրակացություն</t>
  </si>
  <si>
    <t xml:space="preserve">Հաստատում (Sign-off)</t>
  </si>
  <si>
    <t xml:space="preserve">Ստորաբաժանում / դեր</t>
  </si>
  <si>
    <t xml:space="preserve">Անուն Ազգանուն, ամսաթիվ, ստորագրություն / Jira հաստատում</t>
  </si>
  <si>
    <t xml:space="preserve">ՍԾԶՎ (բիզնես պատվիրատու)</t>
  </si>
  <si>
    <t xml:space="preserve">ՑՎՎ</t>
  </si>
  <si>
    <t xml:space="preserve">ՍՏԱՏՈՒՍ ՀՍՎ</t>
  </si>
  <si>
    <t xml:space="preserve">BRD հեղինակ / Բիզնես վերլուծաբան</t>
  </si>
  <si>
    <t xml:space="preserve">IT / LSoft մշակող</t>
  </si>
  <si>
    <t xml:space="preserve">QA</t>
  </si>
  <si>
    <t xml:space="preserve">Լեգենդ</t>
  </si>
  <si>
    <t xml:space="preserve">Դեղին բջիջներ</t>
  </si>
  <si>
    <t xml:space="preserve">Լրացվում են թեստավորողի / հաստատողի կողմից։ Մնացած բջիջները չփոփոխել։</t>
  </si>
  <si>
    <t xml:space="preserve">«Թեստային դեպքեր» թերթ</t>
  </si>
  <si>
    <t xml:space="preserve">Լրացնել K–N սյունակները (Փաստացի արդյունք, Կարգավիճակ, Ապացույց, Թեստավորող/ամսաթիվ) և ըստ անհրաժեշտության O սյունակը։</t>
  </si>
  <si>
    <t xml:space="preserve">Կարգավիճակ</t>
  </si>
  <si>
    <t xml:space="preserve">Ընտրել ցանկից՝ Passed / Failed / Blocked / Not run</t>
  </si>
  <si>
    <t xml:space="preserve">Ապացույց</t>
  </si>
  <si>
    <t xml:space="preserve">Կցել LSoft-ի էկրանի պատկերներ, հաշվարկի հաշվետվության (log) հատված, գանձման գործարքի համար, արտահանված ցուցակ և այլն</t>
  </si>
  <si>
    <t xml:space="preserve">Լրացման օրինակ</t>
  </si>
  <si>
    <t xml:space="preserve">Փաստացի՝ «Միջին մնացորդ = 2,500,000; գանձվել է 5,000 ՀՀԴ, գործարք №…» | Կարգավիճակ՝ Passed | Ապացույց՝ «TC-03_screen1.png, log_2026-11-02.txt» | Ա.Ա., 02.11.2026</t>
  </si>
  <si>
    <t xml:space="preserve">Թեստային տվյալներ</t>
  </si>
  <si>
    <t xml:space="preserve">Բոլոր գումարները ՀՀԴ են։ «Միջին մնացորդ»-ը վերջին 3 ամսվա միջինն է։ Պարտատոմսի գումարները նշված են անվանական արժեքով։ Պարզության համար թեստային տվյալներում մնացորդները պահել հաստատուն ամբողջ ժամանակահատվածում, եթե դեպքը այլ բան չի պահանջում։</t>
  </si>
  <si>
    <t xml:space="preserve">ID</t>
  </si>
  <si>
    <t xml:space="preserve">Խումբ</t>
  </si>
  <si>
    <t xml:space="preserve">Փաթեթ</t>
  </si>
  <si>
    <t xml:space="preserve">Առաջնահերթություն</t>
  </si>
  <si>
    <t xml:space="preserve">BRD հղում</t>
  </si>
  <si>
    <t xml:space="preserve">Նախապայման / թեստային տվյալներ</t>
  </si>
  <si>
    <t xml:space="preserve">Քայլեր</t>
  </si>
  <si>
    <t xml:space="preserve">Ակնկալվող արդյունք</t>
  </si>
  <si>
    <t xml:space="preserve">Նպատակը (ինչ է ապացուցում)</t>
  </si>
  <si>
    <t xml:space="preserve">Փաստացի արդյունք</t>
  </si>
  <si>
    <t xml:space="preserve">Ապացույց (կցորդ / հղում)</t>
  </si>
  <si>
    <t xml:space="preserve">Թեստավորող, ամսաթիվ</t>
  </si>
  <si>
    <t xml:space="preserve">Jira defect</t>
  </si>
  <si>
    <t xml:space="preserve">Մեկնաբանություն</t>
  </si>
  <si>
    <t xml:space="preserve">TC-01</t>
  </si>
  <si>
    <t xml:space="preserve">A. Պարտատոմսի ներառում</t>
  </si>
  <si>
    <t xml:space="preserve">Բոլորը</t>
  </si>
  <si>
    <t xml:space="preserve">Կրիտիկական</t>
  </si>
  <si>
    <t xml:space="preserve">BRD TTZV-6011 §1, §5, §9, §11</t>
  </si>
  <si>
    <t xml:space="preserve">Փաթեթով հաճախորդ (յուրաքանչյուր փաթեթի համար առանձին)․ ցպահանջ հաշիվ, ժամկետային ավանդ և պարտատոմսի հաշիվ՝ հայտնի մնացորդներով։</t>
  </si>
  <si>
    <t xml:space="preserve">Գործարկել ամսական հաշվարկը (1-ին աշխատանքային օրվա ռեժիմով) թեստային հաճախորդի համար։ Բացել հաշվարկի արդյունքը / log-ը և գանձման գործարքը LSoft-ում։ Համեմատել հաշվարկված միջին մնացորդը ձեռքով հաշվարկի հետ։</t>
  </si>
  <si>
    <t xml:space="preserve">Միջին մնացորդ = ցպահանջ + ժամկետային + պարտատոմսի հաշիվների միջին մնացորդների գումարը (պարտատոմսը՝ անվանական արժեքով)։ Պարտատոմսի հաշիվը երևում է հաշվարկում ներառված հաշիվների ցանկում։</t>
  </si>
  <si>
    <t xml:space="preserve">Պարտատոմսի հաշիվը ներառված է հաշվարկում (հիմնական ընդունման չափանիշ)</t>
  </si>
  <si>
    <t xml:space="preserve">TC-02</t>
  </si>
  <si>
    <t xml:space="preserve">PLUS CLUB</t>
  </si>
  <si>
    <t xml:space="preserve">BRD TTZV-6011 §9</t>
  </si>
  <si>
    <t xml:space="preserve">Հաճախորդը ունի ՄԻԱՅՆ պարտատոմսի հաշիվ (ավանդային հաշիվներ չկան), միջին մնացորդ 2,500,000։ Աշխատավարձ չկա։</t>
  </si>
  <si>
    <t xml:space="preserve">Գործարկել ամսական հաշվարկը (1-ին աշխատանքային օրվա ռեժիմով) թեստային հաճախորդի համար։ Բացել հաշվարկի արդյունքը / log-ը և գանձման գործարքը LSoft-ում։</t>
  </si>
  <si>
    <t xml:space="preserve">Միջին մնացորդ = 2,500,000 → Քայլ 1 անցնում է → Քայլ 2՝ &lt; 5,000,000 → սպասարկման վճար 5,000 ՀՀԴ։ Հաճախորդը չի ծանուցվում անհամապատասխանության մասին։</t>
  </si>
  <si>
    <t xml:space="preserve">Լուծումը ճիշտ է աշխատում, երբ պարտատոմսը միակ միջոցն է</t>
  </si>
  <si>
    <t xml:space="preserve">TC-03</t>
  </si>
  <si>
    <t xml:space="preserve">BRD TTZV-6011 §9; TTZV-4447 PLUS CLUB Քայլ 1–2</t>
  </si>
  <si>
    <t xml:space="preserve">Ավանդներ՝ 1,500,000 + պարտատոմս՝ 1,000,000 (միջին)։ Աշխատավարձ չկա։</t>
  </si>
  <si>
    <t xml:space="preserve">Միջին մնացորդ = 2,500,000 ≥ 2,000,000 → Քայլ 2 → վճար 5,000 ՀՀԴ (առանց պարտատոմսի կլիներ Քայլ 3 → 10,000 ՀՀԴ)։</t>
  </si>
  <si>
    <t xml:space="preserve">Պարտատոմսը փոխում է որակավորման արդյունքը</t>
  </si>
  <si>
    <t xml:space="preserve">TC-04</t>
  </si>
  <si>
    <t xml:space="preserve">TTZV-4447 PLUS CLUB Քայլ 2</t>
  </si>
  <si>
    <t xml:space="preserve">Ավանդներ՝ 3,000,000 + պարտատոմս՝ 2,500,000։</t>
  </si>
  <si>
    <t xml:space="preserve">Միջին մնացորդ = 5,500,000 ≥ 5,000,000 → վճար 0 ՀՀԴ։</t>
  </si>
  <si>
    <t xml:space="preserve">Պարտատոմսը հասցնում է զրոյական վճարի շեմին</t>
  </si>
  <si>
    <t xml:space="preserve">TC-05</t>
  </si>
  <si>
    <t xml:space="preserve">PLUS DIGITAL</t>
  </si>
  <si>
    <t xml:space="preserve">BRD TTZV-6011 §9; TTZV-4447 PLUS DIGITAL Քայլ 1–2</t>
  </si>
  <si>
    <t xml:space="preserve">Ավանդներ՝ 1,500,000 + պարտատոմս՝ 1,000,000։ Աշխատավարձ չկա։</t>
  </si>
  <si>
    <t xml:space="preserve">Միջին մնացորդ = 2,500,000 → Քայլ 2 → վճար 2,000 ՀՀԴ (առանց պարտատոմսի կլիներ Քայլ 3 → 7,000 ՀՀԴ)։</t>
  </si>
  <si>
    <t xml:space="preserve">TC-06</t>
  </si>
  <si>
    <t xml:space="preserve">TTZV-4447 PLUS DIGITAL Քայլ 2</t>
  </si>
  <si>
    <t xml:space="preserve">Միջին մնացորդ = 5,500,000 → վճար 0 ՀՀԴ։</t>
  </si>
  <si>
    <t xml:space="preserve">TC-07</t>
  </si>
  <si>
    <t xml:space="preserve">STATUS</t>
  </si>
  <si>
    <t xml:space="preserve">BRD TTZV-6011 §9; TTZV-4447 STATUS Քայլ 1–2</t>
  </si>
  <si>
    <t xml:space="preserve">Ավանդներ՝ 15,000,000 + պարտատոմս՝ 6,000,000։ Աշխատավարձ &lt; 2,500,000։</t>
  </si>
  <si>
    <t xml:space="preserve">Գործարկել ամսական հաշվարկը (1-ին աշխատանքային օրվա ռեժիմով) թեստային հաճախորդի համար։ Բացել հաշվարկի արդյունքը / log-ը և գանձման գործարքը LSoft-ում։ Ստուգել անհամապատասխան հաճախորդների արտահանված ցուցակը։</t>
  </si>
  <si>
    <t xml:space="preserve">Միջին մնացորդ = 21,000,000 ≥ 20,000,000 → Քայլ 2 → վճար 10,000 ՀՀԴ։ Հաճախորդը ՉԻ ներառվում ՍԾՎ/ՍԾԶՎ-ին ուղարկվող անհամապատասխան ցուցակում։</t>
  </si>
  <si>
    <t xml:space="preserve">Պարտատոմսը փոխում է STATUS որակավորումը</t>
  </si>
  <si>
    <t xml:space="preserve">TC-08</t>
  </si>
  <si>
    <t xml:space="preserve">TTZV-4447 STATUS Քայլ 2</t>
  </si>
  <si>
    <t xml:space="preserve">Ավանդներ՝ 25,000,000 + պարտատոմս՝ 20,000,000։</t>
  </si>
  <si>
    <t xml:space="preserve">Միջին մնացորդ = 45,000,000 ≥ 40,000,000 → վճար 0 ՀՀԴ։</t>
  </si>
  <si>
    <t xml:space="preserve">Պարտատոմսը հասցնում է STATUS զրոյական վճարի շեմին</t>
  </si>
  <si>
    <t xml:space="preserve">TC-09</t>
  </si>
  <si>
    <t xml:space="preserve">PLUS CLUB / PLUS DIGITAL</t>
  </si>
  <si>
    <t xml:space="preserve">Բարձր</t>
  </si>
  <si>
    <t xml:space="preserve">TTZV-4447 Քայլ 1–2</t>
  </si>
  <si>
    <t xml:space="preserve">Աշխատավարձ ≥ 400,000 (որակավորվում է աշխատավարձով)․ ավանդներ՝ 2,000,000 + պարտատոմս՝ 3,500,000։</t>
  </si>
  <si>
    <t xml:space="preserve">Քայլ 1 անցնում է (աշխատավարձ) → Քայլ 2՝ մնացորդ 5,500,000 ≥ 5,000,000 → վճար 0 ՀՀԴ (առանց պարտատոմսի՝ 5,000 / 2,000 ՀՀԴ)։</t>
  </si>
  <si>
    <t xml:space="preserve">Պարտատոմսը հաշվվում է նաև Քայլ 2-ի մնացորդի ստուգման մեջ</t>
  </si>
  <si>
    <t xml:space="preserve">TC-10</t>
  </si>
  <si>
    <t xml:space="preserve">TTZV-4447 Քայլ 3</t>
  </si>
  <si>
    <t xml:space="preserve">Ավանդներ՝ 500,000 + պարտատոմս՝ 1,000,000 (ընդամենը 1,500,000 &lt; 2,000,000)։ ա) 3 ամսում 2 աշխատավարձ՝ ընդամենը ≥ 800,000; բ) աշխատավարձ չկա։</t>
  </si>
  <si>
    <t xml:space="preserve">Քայլ 3։ ա) PLUS CLUB 5,000 / PLUS DIGITAL 2,000 ՀՀԴ; բ) PLUS CLUB 10,000 / PLUS DIGITAL 7,000 ՀՀԴ, հաճախորդը ծանուցվում է և ներառվում ցուցակում։</t>
  </si>
  <si>
    <t xml:space="preserve">Պարտատոմսը ներառվում է, բայց շեմից ցածր լինելու դեպքում տրամաբանությունը չի խախտվում</t>
  </si>
  <si>
    <t xml:space="preserve">TC-11</t>
  </si>
  <si>
    <t xml:space="preserve">B. Սահմանային արժեքներ</t>
  </si>
  <si>
    <t xml:space="preserve">TTZV-4447 Քայլ 1 (≥)</t>
  </si>
  <si>
    <t xml:space="preserve">ա) Ավանդներ + պարտատոմս միջին = ճիշտ 2,000,000; բ) = 1,999,999։ Աշխատավարձ չկա։</t>
  </si>
  <si>
    <t xml:space="preserve">ա) որակավորվում է (≥) → Քայլ 2; բ) չի որակավորվում → Քայլ 3։</t>
  </si>
  <si>
    <t xml:space="preserve">Շեմի «≥» պայմանը ճիշտ է կիրառվում պարտատոմսի հետ</t>
  </si>
  <si>
    <t xml:space="preserve">TC-12</t>
  </si>
  <si>
    <t xml:space="preserve">TTZV-4447 Քայլ 2 (≥)</t>
  </si>
  <si>
    <t xml:space="preserve">ա) Ավանդներ + պարտատոմս = ճիշտ 5,000,000; բ) = 4,999,999։</t>
  </si>
  <si>
    <t xml:space="preserve">ա) վճար 0 ՀՀԴ; բ) PLUS CLUB 5,000 / PLUS DIGITAL 2,000 ՀՀԴ։</t>
  </si>
  <si>
    <t xml:space="preserve">Քայլ 2 շեմ</t>
  </si>
  <si>
    <t xml:space="preserve">TC-13</t>
  </si>
  <si>
    <t xml:space="preserve">TTZV-4447 STATUS Քայլ 1–2 (≥)</t>
  </si>
  <si>
    <t xml:space="preserve">ա) = 20,000,000; բ) = 19,999,999; գ) = 40,000,000; դ) = 39,999,999 (յուրաքանչյուրում մաս՝ պարտատոմսից)։</t>
  </si>
  <si>
    <t xml:space="preserve">ա) 10,000 ՀՀԴ, ցուցակում չէ; բ) 10,000 ՀՀԴ ստանդարտ վճար + ներառվում է անհամապատասխան ցուցակում; գ) 0 ՀՀԴ; դ) 10,000 ՀՀԴ։</t>
  </si>
  <si>
    <t xml:space="preserve">STATUS շեմեր</t>
  </si>
  <si>
    <t xml:space="preserve">TC-14</t>
  </si>
  <si>
    <t xml:space="preserve">C. Պարտատոմսի առանձնահատկություններ</t>
  </si>
  <si>
    <t xml:space="preserve">Որոշում 16.10.2026 (Q2)</t>
  </si>
  <si>
    <t xml:space="preserve">PLUS CLUB հաճախորդ․ ավանդներ՝ 1,000,000 + պարտատոմս՝ անվանական արժեք 1,000,000, ձեռքբերման / շուկայական արժեք 980,000։ Աշխատավարձ չկա։</t>
  </si>
  <si>
    <t xml:space="preserve">Պարտատոմսը հաշվառվում է անվանական արժեքով՝ 1,000,000 → միջին մնացորդ = 2,000,000 ≥ 2,000,000 → Քայլ 2 → վճար 5,000 ՀՀԴ (ձեռքբերման արժեքով կլիներ 1,980,000 → Քայլ 3)։ Կուտակված արժեկտրոնը չի ավելացվում։</t>
  </si>
  <si>
    <t xml:space="preserve">Պարտատոմսը հաշվառվում է անվանական արժեքով</t>
  </si>
  <si>
    <t xml:space="preserve">TC-15</t>
  </si>
  <si>
    <t xml:space="preserve">Միջին</t>
  </si>
  <si>
    <t xml:space="preserve">BRD TTZV-6011 §2</t>
  </si>
  <si>
    <t xml:space="preserve">Հաճախորդն ունի 2 և ավելի պարտատոմսի հաշիվ։</t>
  </si>
  <si>
    <t xml:space="preserve">Բոլոր պարտատոմսի հաշիվների մնացորդները գումարվում են։</t>
  </si>
  <si>
    <t xml:space="preserve">Բազմակի պարտատոմսեր</t>
  </si>
  <si>
    <t xml:space="preserve">TC-16</t>
  </si>
  <si>
    <t xml:space="preserve">Պարտատոմսի հաշիվ՝ 0 մնացորդով կամ փակված մինչև ժամանակահատվածը։</t>
  </si>
  <si>
    <t xml:space="preserve">Արդյունքը նույնն է, ինչ առանց պարտատոմսի հաշվի։ Սխալ չկա։</t>
  </si>
  <si>
    <t xml:space="preserve">Դատարկ / փակ հաշիվներ</t>
  </si>
  <si>
    <t xml:space="preserve">TC-17</t>
  </si>
  <si>
    <t xml:space="preserve">BRD TTZV-6011 §9 («հաճախորդի՝ պարտատոմսի հաշիվը»)</t>
  </si>
  <si>
    <t xml:space="preserve">Պարտատոմսի հաշիվ, որը պատկանում է այլ հաճախորդի (օր. փոխկապակցված անձ, երրորդ անձ)։</t>
  </si>
  <si>
    <t xml:space="preserve">Այլ հաճախորդի պարտատոմսը ՉԻ ներառվում թեստային հաճախորդի հաշվարկում։</t>
  </si>
  <si>
    <t xml:space="preserve">Միայն հաճախորդի սեփական հաշիվները</t>
  </si>
  <si>
    <t xml:space="preserve">TC-18</t>
  </si>
  <si>
    <t xml:space="preserve">D. Գանձում և ելքային տվյալներ</t>
  </si>
  <si>
    <t xml:space="preserve">TTZV-4447 Քայլ 1–3</t>
  </si>
  <si>
    <t xml:space="preserve">TC-03–TC-08 դեպքերի հաճախորդները։</t>
  </si>
  <si>
    <t xml:space="preserve">Ստուգել LSoft-ում գանձման գործարքները։</t>
  </si>
  <si>
    <t xml:space="preserve">Գանձված գումարը համապատասխանում է ակնկալվողին, ճիշտ հաշվից, ճիշտ ամսաթվով (ամսվա 1-ին աշխատանքային օր), ճիշտ գործարքի նկարագրությամբ։ Կրկնակի գանձում չկա։</t>
  </si>
  <si>
    <t xml:space="preserve">Վերջնական ֆինանսական արդյունքի ճշգրտություն</t>
  </si>
  <si>
    <t xml:space="preserve">TC-19</t>
  </si>
  <si>
    <t xml:space="preserve">TTZV-4447 STATUS Քայլ 1</t>
  </si>
  <si>
    <t xml:space="preserve">Հաճախորդների խումբ՝ պարտատոմսով որակավորվող և չորակավորվող։</t>
  </si>
  <si>
    <t xml:space="preserve">Ստուգել ՍԾՎ/ՍԾԶՎ-ին տրամադրվող անհամապատասխան հաճախորդների ցուցակը։</t>
  </si>
  <si>
    <t xml:space="preserve">Ցուցակում ներառված են միայն այն հաճախորդները, որոնք պարտատոմսը հաշվի առնելով էլ չեն համապատասխանում։</t>
  </si>
  <si>
    <t xml:space="preserve">Արտահանման ճշգրտություն</t>
  </si>
  <si>
    <t xml:space="preserve">TC-20</t>
  </si>
  <si>
    <t xml:space="preserve">TTZV-4447 Scope (ծանուցում)</t>
  </si>
  <si>
    <t xml:space="preserve">Հաճախորդներ, որոնք որակավորվում են միայն պարտատոմսի շնորհիվ։</t>
  </si>
  <si>
    <t xml:space="preserve">Ստուգել ծանուցումների ուղարկման log-ը և ՍԾԶՎ-ին տրամադրվող ցուցակը։</t>
  </si>
  <si>
    <t xml:space="preserve">Այդ հաճախորդները ծանուցում ՉԵՆ ստանում և ցուցակում ներառված չեն։</t>
  </si>
  <si>
    <t xml:space="preserve">Հաճախորդի հաղորդակցության ճշգրտություն</t>
  </si>
  <si>
    <t xml:space="preserve">TC-21</t>
  </si>
  <si>
    <t xml:space="preserve">BRD TTZV-6011 §11</t>
  </si>
  <si>
    <t xml:space="preserve">Ցանկացած թեստային հաճախորդ՝ պարտատոմսով։</t>
  </si>
  <si>
    <t xml:space="preserve">Բացել հաշվարկի մանրամասն հաշվետվությունը / log-ը։</t>
  </si>
  <si>
    <t xml:space="preserve">Հնարավոր է տեսնել, թե որ հաշիվներն են ներառվել (ներառյալ պարտատոմսի հաշիվը) և դրանց մասնաբաժինը միջին մնացորդում (հետագծելիություն, տես Q8)։</t>
  </si>
  <si>
    <t xml:space="preserve">Աուդիտի և վեճերի լուծման հնարավորություն</t>
  </si>
  <si>
    <t xml:space="preserve">TC-22</t>
  </si>
  <si>
    <t xml:space="preserve">E. Ռեգրեսիա</t>
  </si>
  <si>
    <t xml:space="preserve">TTZV-4447 (ամբողջ տրամաբանություն)</t>
  </si>
  <si>
    <t xml:space="preserve">Հաճախորդներ առանց պարտատոմսի, որոնք ծածկում են TTZV-4447-ի բոլոր ճյուղերը (Քայլ 1/2/3, աշխատավարձով և մնացորդով)։</t>
  </si>
  <si>
    <t xml:space="preserve">Գործարկել ամսական հաշվարկը (1-ին աշխատանքային օրվա ռեժիմով) թեստային հաճախորդի համար։ Բացել հաշվարկի արդյունքը / log-ը և գանձման գործարքը LSoft-ում։ Համեմատել փոփոխությունից առաջ ստացված արդյունքի հետ։</t>
  </si>
  <si>
    <t xml:space="preserve">Արդյունքները (վճար, ցուցակ, ծանուցում) նույնն են, ինչ փոփոխությունից առաջ։</t>
  </si>
  <si>
    <t xml:space="preserve">Փոփոխությունը չի խախտել գործող լուծումը</t>
  </si>
  <si>
    <t xml:space="preserve">TC-23</t>
  </si>
  <si>
    <t xml:space="preserve">Աշխատավարձին հավասարեցված եկամուտներ (թոշակ, նպաստ, շահաբաժին և այլն) + պարտատոմս։</t>
  </si>
  <si>
    <t xml:space="preserve">Աշխատավարձի չափանիշի ստուգումը չի փոխվել։ Պարտատոմսի մարումը / արժեկտրոնը ՉԻ դիտարկվում որպես աշխատավարձ, եթե այլ բան համաձայնեցված չէ։</t>
  </si>
  <si>
    <t xml:space="preserve">Եկամտի և մնացորդի չափանիշների տարանջատում</t>
  </si>
  <si>
    <t xml:space="preserve">TC-24</t>
  </si>
  <si>
    <t xml:space="preserve">Այլ փաթեթներ</t>
  </si>
  <si>
    <t xml:space="preserve">TTZV-4447 §4 (Optimal, Advanced)</t>
  </si>
  <si>
    <t xml:space="preserve">Optimal / Advanced փաթեթով և առանց փաթեթի հաճախորդներ՝ պարտատոմսով։</t>
  </si>
  <si>
    <t xml:space="preserve">Գործարկել համապատասխան գանձման գործընթացները։</t>
  </si>
  <si>
    <t xml:space="preserve">Այլ փաթեթների հաշվարկը չի փոխվել (փոփոխությունը վերաբերում է միայն PLUS CLUB, PLUS DIGITAL, STATUS փաթեթներին)։</t>
  </si>
  <si>
    <t xml:space="preserve">Շրջանակից դուրս ազդեցության բացակայություն</t>
  </si>
  <si>
    <t xml:space="preserve">TC-25</t>
  </si>
  <si>
    <t xml:space="preserve">TTZV-4447 (սակագների ճկունություն)</t>
  </si>
  <si>
    <t xml:space="preserve">Փոխել մեկ փաթեթի սակագինը թեստային միջավայրում։</t>
  </si>
  <si>
    <t xml:space="preserve">Փոփոխությունը կիրառվում է միայն տվյալ փաթեթի վրա, պարտատոմսի ներառումը շարունակում է աշխատել։</t>
  </si>
  <si>
    <t xml:space="preserve">Սակագների ճկունությունը պահպանված է</t>
  </si>
  <si>
    <t xml:space="preserve">TC-26</t>
  </si>
  <si>
    <t xml:space="preserve">TTZV-4447 Քայլ 1 (ժամանակացույց)</t>
  </si>
  <si>
    <t xml:space="preserve">Ամբողջական պաշարային (batch) գործարկում իրականին մոտ ծավալով։</t>
  </si>
  <si>
    <t xml:space="preserve">Գործարկել ամսական հաշվարկը բոլոր փաթեթային հաճախորդների համար։</t>
  </si>
  <si>
    <t xml:space="preserve">Գործարկվում է ամսվա 1-ին աշխատանքային օրը, ավարտվում է առանց սխալների, տևողությունը էականորեն չի աճել նախորդ տարբերակի համեմատ։</t>
  </si>
  <si>
    <t xml:space="preserve">Կատարողականություն և կայունություն</t>
  </si>
  <si>
    <t xml:space="preserve">TC-27</t>
  </si>
  <si>
    <t xml:space="preserve">F. Բիզնես հաստատում</t>
  </si>
  <si>
    <t xml:space="preserve">Իրական (կամ անանունացված) պարտատոմս ունեցող 10–20 հաճախորդների նմուշ, յուրաքանչյուր փաթեթից։</t>
  </si>
  <si>
    <t xml:space="preserve">ՍԾԶՎ/ՑՎՎ-ն ձեռքով հաշվարկում է միջին մնացորդը և սպասվող վճարը, համեմատում համակարգի արդյունքի հետ։</t>
  </si>
  <si>
    <t xml:space="preserve">Բոլոր նմուշային հաճախորդների համար համակարգի և ձեռքով հաշվարկի արդյունքները համընկնում են։</t>
  </si>
  <si>
    <t xml:space="preserve">Բիզնեսի կողմից լուծման հաստատում</t>
  </si>
  <si>
    <t xml:space="preserve">TC-28</t>
  </si>
  <si>
    <t xml:space="preserve">Բոլոր նախորդ դեպքերը Passed են, բաց հարցերը փակված են։</t>
  </si>
  <si>
    <t xml:space="preserve">Շահագրգիռ կողմերը (ՍԾԶՎ, ՑՎՎ, ՍՏԱՏՈՒՍ ՀՍՎ) ստորագրում են «Ամփոփում» թերթում / Jira-ում։</t>
  </si>
  <si>
    <t xml:space="preserve">Հայտը ընդունված է։</t>
  </si>
  <si>
    <t xml:space="preserve">Պաշտոնական ընդունում</t>
  </si>
  <si>
    <t xml:space="preserve">Հարց / անորոշություն BRD-ում</t>
  </si>
  <si>
    <t xml:space="preserve">Ինչու է կարևոր թեստավորման համար</t>
  </si>
  <si>
    <t xml:space="preserve">Ազդող TC</t>
  </si>
  <si>
    <t xml:space="preserve">Պատասխան / որոշում</t>
  </si>
  <si>
    <t xml:space="preserve">Ամսաթիվ</t>
  </si>
  <si>
    <t xml:space="preserve">Q1</t>
  </si>
  <si>
    <t xml:space="preserve">Ինչպե՞ս է հաշվարկվում պարտատոմսի հաշվի միջին մնացորդը, եթե պարտատոմսը ձեռք է բերվել կամ մարվել 3 ամսյա ժամանակահատվածի ընթացքում։</t>
  </si>
  <si>
    <t xml:space="preserve">Ակնկալվող թիվը միջնամասում բացված / մարված պարտատոմսերի համար։</t>
  </si>
  <si>
    <t xml:space="preserve">— (դեպքերը հանված են)</t>
  </si>
  <si>
    <t xml:space="preserve">Չդիտարկել – թեստավորման շրջանակից դուրս է</t>
  </si>
  <si>
    <t xml:space="preserve">16.10.2026</t>
  </si>
  <si>
    <t xml:space="preserve">Փակված</t>
  </si>
  <si>
    <t xml:space="preserve">Q2</t>
  </si>
  <si>
    <t xml:space="preserve">Պարտատոմսը ո՞ր արժեքով է հաշվառվում՝ անվանական, ձեռքբերման, շուկայական, թե կուտակված արժեկտրոնով։</t>
  </si>
  <si>
    <t xml:space="preserve">Որոշում է ակնկալվող մնացորդը բոլոր պարտատոմսային դեպքերում։</t>
  </si>
  <si>
    <t xml:space="preserve">TC-01–TC-14</t>
  </si>
  <si>
    <t xml:space="preserve">Անվանական արժեքով։ Կուտակված արժեկտրոնը և ձեռքբերման / շուկայական արժեքը չեն դիտարկվում։</t>
  </si>
  <si>
    <t xml:space="preserve">Q3</t>
  </si>
  <si>
    <t xml:space="preserve">Արտարժութային պարտատոմսերը ո՞ր փոխարժեքով և ո՞ր ամսաթվով են փոխարկվում ՀՀԴ-ի։</t>
  </si>
  <si>
    <t xml:space="preserve">Ակնկալվող ՀՀԴ գումարի հաշվարկ։</t>
  </si>
  <si>
    <t xml:space="preserve">— (դեպքը հանված է)</t>
  </si>
  <si>
    <t xml:space="preserve">Q4</t>
  </si>
  <si>
    <t xml:space="preserve">Ո՞ր հաշվի տեսակներն են LSoft-ում համարվում «պարտատոմսի հաշիվ»։ Միայն Արդշինբանկի, թե՞ նաև երրորդ կողմի պարտատոմսեր։</t>
  </si>
  <si>
    <t xml:space="preserve">Շրջանակի սահմանում։</t>
  </si>
  <si>
    <t xml:space="preserve">Q5</t>
  </si>
  <si>
    <t xml:space="preserve">STATUS և PLUS փաթեթների Քայլ 2-ում «մնացորդը» նույն 3 ամսյա միջին մնացորդն է՞, թե ընթացիկ մնացորդը։</t>
  </si>
  <si>
    <t xml:space="preserve">Հիմնական BRD-ում (TTZV-4447) ձևակերպումը միանշանակ չէ։ Թեստային դեպքերը ենթադրում են 3 ամսյա միջին։</t>
  </si>
  <si>
    <t xml:space="preserve">TC-04, TC-06, TC-08, TC-09, TC-12, TC-13</t>
  </si>
  <si>
    <t xml:space="preserve">Բաց</t>
  </si>
  <si>
    <t xml:space="preserve">Q6</t>
  </si>
  <si>
    <t xml:space="preserve">Ո՞ր ամսվա հաշվարկից է կիրառվում փոփոխությունը, և պե՞տք է արդյոք վերահաշվարկ նախորդ ամիսների համար։</t>
  </si>
  <si>
    <t xml:space="preserve">Ազդում է արտադրական ստուգման և հաճախորդների բողոքների վրա։</t>
  </si>
  <si>
    <t xml:space="preserve">TC-22, TC-27</t>
  </si>
  <si>
    <t xml:space="preserve">Q7</t>
  </si>
  <si>
    <t xml:space="preserve">Jira հղումների ճշտում․ PDF արտահանման ժամանակ տողատակի համարները կցվել էին հայտի համարներին (TTZV-60111, TTZV-44472/44474, LSBANK-9943/9945)։</t>
  </si>
  <si>
    <t xml:space="preserve">Հետագծելիություն BRD ↔ թեստ ↔ Jira։</t>
  </si>
  <si>
    <t xml:space="preserve">Ամփոփում</t>
  </si>
  <si>
    <t xml:space="preserve">Այո, հաստատված է․ ճիշտ համարներն են TTZV-6011, TTZV-4447, LSBANK-994։</t>
  </si>
  <si>
    <t xml:space="preserve">Q8</t>
  </si>
  <si>
    <t xml:space="preserve">Պե՞տք է արդյոք հաշվետվությունում / log-ում առանձին ցույց տալ պարտատոմսի մասնաբաժինը։ BRD-ում պահանջ չկա։</t>
  </si>
  <si>
    <t xml:space="preserve">TC-21-ը կարող է լինել «nice to have»։</t>
  </si>
  <si>
    <t xml:space="preserve">Q9</t>
  </si>
  <si>
    <t xml:space="preserve">Երկու BRD-ում էլ RACI մատրիցը լրացված չէ։</t>
  </si>
  <si>
    <t xml:space="preserve">Վերջնական հաստատողի սահմանում։</t>
  </si>
  <si>
    <t xml:space="preserve">Q10</t>
  </si>
  <si>
    <t xml:space="preserve">BRD TTZV-6011-ի ամսաթիվը (27 Sep 2023) ավելի վաղ է, քան հիմնական BRD-ինը (07 Aug 2025), Document Status դաշտում գրված է «STATUS»։</t>
  </si>
  <si>
    <t xml:space="preserve">Փաստաթղթի վավերականություն։</t>
  </si>
  <si>
    <t xml:space="preserve">—</t>
  </si>
  <si>
    <t xml:space="preserve">Q11</t>
  </si>
  <si>
    <t xml:space="preserve">BRD §6–8, §10 (Սահմանափակումներ, Կախվածություններ, Ռիսկեր, Համակարգեր) դատարկ են։</t>
  </si>
  <si>
    <t xml:space="preserve">Ինտեգրացիոն թեստերի շրջանակ։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</si>
</sst>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70"/>
  </cols>
  <sheetData>
    <row r="1" customFormat="false" ht="36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35.0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4"/>
    </row>
    <row r="11" customFormat="false" ht="15" hidden="false" customHeight="false" outlineLevel="0" collapsed="false">
      <c r="A11" s="2" t="s">
        <v>16</v>
      </c>
      <c r="B11" s="4"/>
    </row>
    <row r="12" customFormat="false" ht="15" hidden="false" customHeight="false" outlineLevel="0" collapsed="false">
      <c r="A12" s="2" t="s">
        <v>17</v>
      </c>
      <c r="B12" s="4"/>
    </row>
    <row r="13" customFormat="false" ht="15" hidden="false" customHeight="false" outlineLevel="0" collapsed="false">
      <c r="A13" s="2" t="s">
        <v>18</v>
      </c>
      <c r="B13" s="4"/>
    </row>
    <row r="15" customFormat="false" ht="15" hidden="false" customHeight="false" outlineLevel="0" collapsed="false">
      <c r="A15" s="5" t="s">
        <v>19</v>
      </c>
    </row>
    <row r="16" customFormat="false" ht="15" hidden="false" customHeight="false" outlineLevel="0" collapsed="false">
      <c r="A16" s="6" t="s">
        <v>20</v>
      </c>
      <c r="B16" s="7" t="n">
        <f aca="false">COUNTA('Թեստային դեպքեր'!A2:A200)</f>
        <v>28</v>
      </c>
    </row>
    <row r="17" customFormat="false" ht="15" hidden="false" customHeight="false" outlineLevel="0" collapsed="false">
      <c r="A17" s="6" t="s">
        <v>21</v>
      </c>
      <c r="B17" s="7" t="n">
        <f aca="false">COUNTIF('Թեստային դեպքեր'!J2:J200,"Passed")</f>
        <v>0</v>
      </c>
    </row>
    <row r="18" customFormat="false" ht="15" hidden="false" customHeight="false" outlineLevel="0" collapsed="false">
      <c r="A18" s="6" t="s">
        <v>22</v>
      </c>
      <c r="B18" s="7" t="n">
        <f aca="false">COUNTIF('Թեստային դեպքեր'!J2:J200,"Failed")</f>
        <v>0</v>
      </c>
    </row>
    <row r="19" customFormat="false" ht="15" hidden="false" customHeight="false" outlineLevel="0" collapsed="false">
      <c r="A19" s="6" t="s">
        <v>23</v>
      </c>
      <c r="B19" s="7" t="n">
        <f aca="false">COUNTIF('Թեստային դեպքեր'!J2:J200,"Blocked")</f>
        <v>0</v>
      </c>
    </row>
    <row r="20" customFormat="false" ht="15" hidden="false" customHeight="false" outlineLevel="0" collapsed="false">
      <c r="A20" s="6" t="s">
        <v>24</v>
      </c>
      <c r="B20" s="7" t="n">
        <f aca="false">COUNTIF('Թեստային դեպքեր'!J2:J200,"Not run")</f>
        <v>0</v>
      </c>
    </row>
    <row r="21" customFormat="false" ht="15" hidden="false" customHeight="false" outlineLevel="0" collapsed="false">
      <c r="A21" s="6" t="s">
        <v>25</v>
      </c>
      <c r="B21" s="7" t="n">
        <f aca="false">B16-SUM(B17:B20)</f>
        <v>28</v>
      </c>
    </row>
    <row r="22" customFormat="false" ht="15" hidden="false" customHeight="false" outlineLevel="0" collapsed="false">
      <c r="A22" s="2" t="s">
        <v>26</v>
      </c>
      <c r="B22" s="8" t="n">
        <f aca="false">COUNTIFS('Թեստային դեպքեր'!D2:D200,"Կրիտիկական",'Թեստային դեպքեր'!J2:J200,"&lt;&gt;Passed")</f>
        <v>13</v>
      </c>
    </row>
    <row r="23" customFormat="false" ht="15" hidden="false" customHeight="false" outlineLevel="0" collapsed="false">
      <c r="A23" s="2" t="s">
        <v>27</v>
      </c>
      <c r="B23" s="2" t="str">
        <f aca="false">IF(B16=0,"",IF(AND(B17=B16),"Ընդունված է – բոլոր դեպքերը Passed","Չի ընդունված – առկա են չանցած/չկատարված դեպքեր"))</f>
        <v>Չի ընդունված – առկա են չանցած/չկատարված դեպքեր</v>
      </c>
    </row>
    <row r="25" customFormat="false" ht="15" hidden="false" customHeight="false" outlineLevel="0" collapsed="false">
      <c r="A25" s="5" t="s">
        <v>28</v>
      </c>
    </row>
    <row r="26" customFormat="false" ht="15" hidden="false" customHeight="false" outlineLevel="0" collapsed="false">
      <c r="A26" s="9" t="s">
        <v>29</v>
      </c>
      <c r="B26" s="9" t="s">
        <v>30</v>
      </c>
    </row>
    <row r="27" customFormat="false" ht="15" hidden="false" customHeight="false" outlineLevel="0" collapsed="false">
      <c r="A27" s="6" t="s">
        <v>31</v>
      </c>
      <c r="B27" s="10"/>
    </row>
    <row r="28" customFormat="false" ht="15" hidden="false" customHeight="false" outlineLevel="0" collapsed="false">
      <c r="A28" s="6" t="s">
        <v>32</v>
      </c>
      <c r="B28" s="10"/>
    </row>
    <row r="29" customFormat="false" ht="15" hidden="false" customHeight="false" outlineLevel="0" collapsed="false">
      <c r="A29" s="6" t="s">
        <v>33</v>
      </c>
      <c r="B29" s="10"/>
    </row>
    <row r="30" customFormat="false" ht="15" hidden="false" customHeight="false" outlineLevel="0" collapsed="false">
      <c r="A30" s="6" t="s">
        <v>34</v>
      </c>
      <c r="B30" s="10"/>
    </row>
    <row r="31" customFormat="false" ht="15" hidden="false" customHeight="false" outlineLevel="0" collapsed="false">
      <c r="A31" s="6" t="s">
        <v>35</v>
      </c>
      <c r="B31" s="10"/>
    </row>
    <row r="32" customFormat="false" ht="15" hidden="false" customHeight="false" outlineLevel="0" collapsed="false">
      <c r="A32" s="6" t="s">
        <v>36</v>
      </c>
      <c r="B32" s="10"/>
    </row>
    <row r="34" customFormat="false" ht="15" hidden="false" customHeight="false" outlineLevel="0" collapsed="false">
      <c r="A34" s="5" t="s">
        <v>37</v>
      </c>
    </row>
    <row r="35" customFormat="false" ht="23.85" hidden="false" customHeight="false" outlineLevel="0" collapsed="false">
      <c r="A35" s="11" t="s">
        <v>38</v>
      </c>
      <c r="B35" s="3" t="s">
        <v>39</v>
      </c>
    </row>
    <row r="36" customFormat="false" ht="35.05" hidden="false" customHeight="false" outlineLevel="0" collapsed="false">
      <c r="A36" s="2" t="s">
        <v>40</v>
      </c>
      <c r="B36" s="3" t="s">
        <v>41</v>
      </c>
    </row>
    <row r="37" customFormat="false" ht="15" hidden="false" customHeight="false" outlineLevel="0" collapsed="false">
      <c r="A37" s="2" t="s">
        <v>42</v>
      </c>
      <c r="B37" s="3" t="s">
        <v>43</v>
      </c>
    </row>
    <row r="38" customFormat="false" ht="23.85" hidden="false" customHeight="false" outlineLevel="0" collapsed="false">
      <c r="A38" s="2" t="s">
        <v>44</v>
      </c>
      <c r="B38" s="3" t="s">
        <v>45</v>
      </c>
    </row>
    <row r="39" customFormat="false" ht="35.05" hidden="false" customHeight="false" outlineLevel="0" collapsed="false">
      <c r="A39" s="2" t="s">
        <v>46</v>
      </c>
      <c r="B39" s="3" t="s">
        <v>47</v>
      </c>
    </row>
    <row r="40" customFormat="false" ht="57.45" hidden="false" customHeight="false" outlineLevel="0" collapsed="false">
      <c r="A40" s="2" t="s">
        <v>48</v>
      </c>
      <c r="B40" s="3" t="s">
        <v>49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42"/>
    <col collapsed="false" customWidth="true" hidden="false" outlineLevel="0" max="7" min="7" style="0" width="38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3"/>
    <col collapsed="false" customWidth="true" hidden="false" outlineLevel="0" max="11" min="11" style="0" width="34"/>
    <col collapsed="false" customWidth="true" hidden="false" outlineLevel="0" max="12" min="12" style="0" width="26"/>
    <col collapsed="false" customWidth="true" hidden="false" outlineLevel="0" max="13" min="13" style="0" width="18"/>
    <col collapsed="false" customWidth="true" hidden="false" outlineLevel="0" max="14" min="14" style="0" width="13"/>
    <col collapsed="false" customWidth="true" hidden="false" outlineLevel="0" max="15" min="15" style="0" width="26"/>
  </cols>
  <sheetData>
    <row r="1" customFormat="false" ht="31.5" hidden="false" customHeight="true" outlineLevel="0" collapsed="false">
      <c r="A1" s="12" t="s">
        <v>50</v>
      </c>
      <c r="B1" s="12" t="s">
        <v>51</v>
      </c>
      <c r="C1" s="12" t="s">
        <v>52</v>
      </c>
      <c r="D1" s="12" t="s">
        <v>53</v>
      </c>
      <c r="E1" s="12" t="s">
        <v>54</v>
      </c>
      <c r="F1" s="12" t="s">
        <v>55</v>
      </c>
      <c r="G1" s="12" t="s">
        <v>56</v>
      </c>
      <c r="H1" s="12" t="s">
        <v>57</v>
      </c>
      <c r="I1" s="12" t="s">
        <v>58</v>
      </c>
      <c r="J1" s="12" t="s">
        <v>42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</row>
    <row r="2" customFormat="false" ht="74.6" hidden="false" customHeight="false" outlineLevel="0" collapsed="false">
      <c r="A2" s="13" t="s">
        <v>64</v>
      </c>
      <c r="B2" s="13" t="s">
        <v>65</v>
      </c>
      <c r="C2" s="13" t="s">
        <v>66</v>
      </c>
      <c r="D2" s="13" t="s">
        <v>67</v>
      </c>
      <c r="E2" s="13" t="s">
        <v>68</v>
      </c>
      <c r="F2" s="13" t="s">
        <v>69</v>
      </c>
      <c r="G2" s="13" t="s">
        <v>70</v>
      </c>
      <c r="H2" s="13" t="s">
        <v>71</v>
      </c>
      <c r="I2" s="13" t="s">
        <v>72</v>
      </c>
      <c r="J2" s="14"/>
      <c r="K2" s="14"/>
      <c r="L2" s="14"/>
      <c r="M2" s="14"/>
      <c r="N2" s="14"/>
      <c r="O2" s="14"/>
    </row>
    <row r="3" customFormat="false" ht="53.7" hidden="false" customHeight="false" outlineLevel="0" collapsed="false">
      <c r="A3" s="13" t="s">
        <v>73</v>
      </c>
      <c r="B3" s="13" t="s">
        <v>65</v>
      </c>
      <c r="C3" s="13" t="s">
        <v>74</v>
      </c>
      <c r="D3" s="13" t="s">
        <v>67</v>
      </c>
      <c r="E3" s="13" t="s">
        <v>75</v>
      </c>
      <c r="F3" s="13" t="s">
        <v>76</v>
      </c>
      <c r="G3" s="13" t="s">
        <v>77</v>
      </c>
      <c r="H3" s="13" t="s">
        <v>78</v>
      </c>
      <c r="I3" s="13" t="s">
        <v>79</v>
      </c>
      <c r="J3" s="14"/>
      <c r="K3" s="14"/>
      <c r="L3" s="14"/>
      <c r="M3" s="14"/>
      <c r="N3" s="14"/>
      <c r="O3" s="14"/>
    </row>
    <row r="4" customFormat="false" ht="53.7" hidden="false" customHeight="false" outlineLevel="0" collapsed="false">
      <c r="A4" s="13" t="s">
        <v>80</v>
      </c>
      <c r="B4" s="13" t="s">
        <v>65</v>
      </c>
      <c r="C4" s="13" t="s">
        <v>74</v>
      </c>
      <c r="D4" s="13" t="s">
        <v>67</v>
      </c>
      <c r="E4" s="13" t="s">
        <v>81</v>
      </c>
      <c r="F4" s="13" t="s">
        <v>82</v>
      </c>
      <c r="G4" s="13" t="s">
        <v>77</v>
      </c>
      <c r="H4" s="13" t="s">
        <v>83</v>
      </c>
      <c r="I4" s="13" t="s">
        <v>84</v>
      </c>
      <c r="J4" s="14"/>
      <c r="K4" s="14"/>
      <c r="L4" s="14"/>
      <c r="M4" s="14"/>
      <c r="N4" s="14"/>
      <c r="O4" s="14"/>
    </row>
    <row r="5" customFormat="false" ht="53.7" hidden="false" customHeight="false" outlineLevel="0" collapsed="false">
      <c r="A5" s="13" t="s">
        <v>85</v>
      </c>
      <c r="B5" s="13" t="s">
        <v>65</v>
      </c>
      <c r="C5" s="13" t="s">
        <v>74</v>
      </c>
      <c r="D5" s="13" t="s">
        <v>67</v>
      </c>
      <c r="E5" s="13" t="s">
        <v>86</v>
      </c>
      <c r="F5" s="13" t="s">
        <v>87</v>
      </c>
      <c r="G5" s="13" t="s">
        <v>77</v>
      </c>
      <c r="H5" s="13" t="s">
        <v>88</v>
      </c>
      <c r="I5" s="13" t="s">
        <v>89</v>
      </c>
      <c r="J5" s="14"/>
      <c r="K5" s="14"/>
      <c r="L5" s="14"/>
      <c r="M5" s="14"/>
      <c r="N5" s="14"/>
      <c r="O5" s="14"/>
    </row>
    <row r="6" customFormat="false" ht="53.7" hidden="false" customHeight="false" outlineLevel="0" collapsed="false">
      <c r="A6" s="13" t="s">
        <v>90</v>
      </c>
      <c r="B6" s="13" t="s">
        <v>65</v>
      </c>
      <c r="C6" s="13" t="s">
        <v>91</v>
      </c>
      <c r="D6" s="13" t="s">
        <v>67</v>
      </c>
      <c r="E6" s="13" t="s">
        <v>92</v>
      </c>
      <c r="F6" s="13" t="s">
        <v>93</v>
      </c>
      <c r="G6" s="13" t="s">
        <v>77</v>
      </c>
      <c r="H6" s="13" t="s">
        <v>94</v>
      </c>
      <c r="I6" s="13" t="s">
        <v>84</v>
      </c>
      <c r="J6" s="14"/>
      <c r="K6" s="14"/>
      <c r="L6" s="14"/>
      <c r="M6" s="14"/>
      <c r="N6" s="14"/>
      <c r="O6" s="14"/>
    </row>
    <row r="7" customFormat="false" ht="53.7" hidden="false" customHeight="false" outlineLevel="0" collapsed="false">
      <c r="A7" s="13" t="s">
        <v>95</v>
      </c>
      <c r="B7" s="13" t="s">
        <v>65</v>
      </c>
      <c r="C7" s="13" t="s">
        <v>91</v>
      </c>
      <c r="D7" s="13" t="s">
        <v>67</v>
      </c>
      <c r="E7" s="13" t="s">
        <v>96</v>
      </c>
      <c r="F7" s="13" t="s">
        <v>87</v>
      </c>
      <c r="G7" s="13" t="s">
        <v>77</v>
      </c>
      <c r="H7" s="13" t="s">
        <v>97</v>
      </c>
      <c r="I7" s="13" t="s">
        <v>89</v>
      </c>
      <c r="J7" s="14"/>
      <c r="K7" s="14"/>
      <c r="L7" s="14"/>
      <c r="M7" s="14"/>
      <c r="N7" s="14"/>
      <c r="O7" s="14"/>
    </row>
    <row r="8" customFormat="false" ht="74.6" hidden="false" customHeight="false" outlineLevel="0" collapsed="false">
      <c r="A8" s="13" t="s">
        <v>98</v>
      </c>
      <c r="B8" s="13" t="s">
        <v>65</v>
      </c>
      <c r="C8" s="13" t="s">
        <v>99</v>
      </c>
      <c r="D8" s="13" t="s">
        <v>67</v>
      </c>
      <c r="E8" s="13" t="s">
        <v>100</v>
      </c>
      <c r="F8" s="13" t="s">
        <v>101</v>
      </c>
      <c r="G8" s="13" t="s">
        <v>102</v>
      </c>
      <c r="H8" s="13" t="s">
        <v>103</v>
      </c>
      <c r="I8" s="13" t="s">
        <v>104</v>
      </c>
      <c r="J8" s="14"/>
      <c r="K8" s="14"/>
      <c r="L8" s="14"/>
      <c r="M8" s="14"/>
      <c r="N8" s="14"/>
      <c r="O8" s="14"/>
    </row>
    <row r="9" customFormat="false" ht="53.7" hidden="false" customHeight="false" outlineLevel="0" collapsed="false">
      <c r="A9" s="13" t="s">
        <v>105</v>
      </c>
      <c r="B9" s="13" t="s">
        <v>65</v>
      </c>
      <c r="C9" s="13" t="s">
        <v>99</v>
      </c>
      <c r="D9" s="13" t="s">
        <v>67</v>
      </c>
      <c r="E9" s="13" t="s">
        <v>106</v>
      </c>
      <c r="F9" s="13" t="s">
        <v>107</v>
      </c>
      <c r="G9" s="13" t="s">
        <v>77</v>
      </c>
      <c r="H9" s="13" t="s">
        <v>108</v>
      </c>
      <c r="I9" s="13" t="s">
        <v>109</v>
      </c>
      <c r="J9" s="14"/>
      <c r="K9" s="14"/>
      <c r="L9" s="14"/>
      <c r="M9" s="14"/>
      <c r="N9" s="14"/>
      <c r="O9" s="14"/>
    </row>
    <row r="10" customFormat="false" ht="53.7" hidden="false" customHeight="false" outlineLevel="0" collapsed="false">
      <c r="A10" s="13" t="s">
        <v>110</v>
      </c>
      <c r="B10" s="13" t="s">
        <v>65</v>
      </c>
      <c r="C10" s="13" t="s">
        <v>111</v>
      </c>
      <c r="D10" s="13" t="s">
        <v>112</v>
      </c>
      <c r="E10" s="13" t="s">
        <v>113</v>
      </c>
      <c r="F10" s="13" t="s">
        <v>114</v>
      </c>
      <c r="G10" s="13" t="s">
        <v>77</v>
      </c>
      <c r="H10" s="13" t="s">
        <v>115</v>
      </c>
      <c r="I10" s="13" t="s">
        <v>116</v>
      </c>
      <c r="J10" s="14"/>
      <c r="K10" s="14"/>
      <c r="L10" s="14"/>
      <c r="M10" s="14"/>
      <c r="N10" s="14"/>
      <c r="O10" s="14"/>
    </row>
    <row r="11" customFormat="false" ht="53.7" hidden="false" customHeight="false" outlineLevel="0" collapsed="false">
      <c r="A11" s="13" t="s">
        <v>117</v>
      </c>
      <c r="B11" s="13" t="s">
        <v>65</v>
      </c>
      <c r="C11" s="13" t="s">
        <v>111</v>
      </c>
      <c r="D11" s="13" t="s">
        <v>112</v>
      </c>
      <c r="E11" s="13" t="s">
        <v>118</v>
      </c>
      <c r="F11" s="13" t="s">
        <v>119</v>
      </c>
      <c r="G11" s="13" t="s">
        <v>77</v>
      </c>
      <c r="H11" s="13" t="s">
        <v>120</v>
      </c>
      <c r="I11" s="13" t="s">
        <v>121</v>
      </c>
      <c r="J11" s="14"/>
      <c r="K11" s="14"/>
      <c r="L11" s="14"/>
      <c r="M11" s="14"/>
      <c r="N11" s="14"/>
      <c r="O11" s="14"/>
    </row>
    <row r="12" customFormat="false" ht="53.7" hidden="false" customHeight="false" outlineLevel="0" collapsed="false">
      <c r="A12" s="13" t="s">
        <v>122</v>
      </c>
      <c r="B12" s="13" t="s">
        <v>123</v>
      </c>
      <c r="C12" s="13" t="s">
        <v>111</v>
      </c>
      <c r="D12" s="13" t="s">
        <v>112</v>
      </c>
      <c r="E12" s="13" t="s">
        <v>124</v>
      </c>
      <c r="F12" s="13" t="s">
        <v>125</v>
      </c>
      <c r="G12" s="13" t="s">
        <v>77</v>
      </c>
      <c r="H12" s="13" t="s">
        <v>126</v>
      </c>
      <c r="I12" s="13" t="s">
        <v>127</v>
      </c>
      <c r="J12" s="14"/>
      <c r="K12" s="14"/>
      <c r="L12" s="14"/>
      <c r="M12" s="14"/>
      <c r="N12" s="14"/>
      <c r="O12" s="14"/>
    </row>
    <row r="13" customFormat="false" ht="53.7" hidden="false" customHeight="false" outlineLevel="0" collapsed="false">
      <c r="A13" s="13" t="s">
        <v>128</v>
      </c>
      <c r="B13" s="13" t="s">
        <v>123</v>
      </c>
      <c r="C13" s="13" t="s">
        <v>111</v>
      </c>
      <c r="D13" s="13" t="s">
        <v>112</v>
      </c>
      <c r="E13" s="13" t="s">
        <v>129</v>
      </c>
      <c r="F13" s="13" t="s">
        <v>130</v>
      </c>
      <c r="G13" s="13" t="s">
        <v>77</v>
      </c>
      <c r="H13" s="13" t="s">
        <v>131</v>
      </c>
      <c r="I13" s="13" t="s">
        <v>132</v>
      </c>
      <c r="J13" s="14"/>
      <c r="K13" s="14"/>
      <c r="L13" s="14"/>
      <c r="M13" s="14"/>
      <c r="N13" s="14"/>
      <c r="O13" s="14"/>
    </row>
    <row r="14" customFormat="false" ht="53.7" hidden="false" customHeight="false" outlineLevel="0" collapsed="false">
      <c r="A14" s="13" t="s">
        <v>133</v>
      </c>
      <c r="B14" s="13" t="s">
        <v>123</v>
      </c>
      <c r="C14" s="13" t="s">
        <v>99</v>
      </c>
      <c r="D14" s="13" t="s">
        <v>112</v>
      </c>
      <c r="E14" s="13" t="s">
        <v>134</v>
      </c>
      <c r="F14" s="13" t="s">
        <v>135</v>
      </c>
      <c r="G14" s="13" t="s">
        <v>77</v>
      </c>
      <c r="H14" s="13" t="s">
        <v>136</v>
      </c>
      <c r="I14" s="13" t="s">
        <v>137</v>
      </c>
      <c r="J14" s="14"/>
      <c r="K14" s="14"/>
      <c r="L14" s="14"/>
      <c r="M14" s="14"/>
      <c r="N14" s="14"/>
      <c r="O14" s="14"/>
    </row>
    <row r="15" customFormat="false" ht="64.15" hidden="false" customHeight="false" outlineLevel="0" collapsed="false">
      <c r="A15" s="13" t="s">
        <v>138</v>
      </c>
      <c r="B15" s="13" t="s">
        <v>139</v>
      </c>
      <c r="C15" s="13" t="s">
        <v>66</v>
      </c>
      <c r="D15" s="13" t="s">
        <v>67</v>
      </c>
      <c r="E15" s="13" t="s">
        <v>140</v>
      </c>
      <c r="F15" s="13" t="s">
        <v>141</v>
      </c>
      <c r="G15" s="13" t="s">
        <v>77</v>
      </c>
      <c r="H15" s="13" t="s">
        <v>142</v>
      </c>
      <c r="I15" s="13" t="s">
        <v>143</v>
      </c>
      <c r="J15" s="14"/>
      <c r="K15" s="14"/>
      <c r="L15" s="14"/>
      <c r="M15" s="14"/>
      <c r="N15" s="14"/>
      <c r="O15" s="14"/>
    </row>
    <row r="16" customFormat="false" ht="53.7" hidden="false" customHeight="false" outlineLevel="0" collapsed="false">
      <c r="A16" s="13" t="s">
        <v>144</v>
      </c>
      <c r="B16" s="13" t="s">
        <v>139</v>
      </c>
      <c r="C16" s="13" t="s">
        <v>66</v>
      </c>
      <c r="D16" s="13" t="s">
        <v>145</v>
      </c>
      <c r="E16" s="13" t="s">
        <v>146</v>
      </c>
      <c r="F16" s="13" t="s">
        <v>147</v>
      </c>
      <c r="G16" s="13" t="s">
        <v>77</v>
      </c>
      <c r="H16" s="13" t="s">
        <v>148</v>
      </c>
      <c r="I16" s="13" t="s">
        <v>149</v>
      </c>
      <c r="J16" s="14"/>
      <c r="K16" s="14"/>
      <c r="L16" s="14"/>
      <c r="M16" s="14"/>
      <c r="N16" s="14"/>
      <c r="O16" s="14"/>
    </row>
    <row r="17" customFormat="false" ht="53.7" hidden="false" customHeight="false" outlineLevel="0" collapsed="false">
      <c r="A17" s="13" t="s">
        <v>150</v>
      </c>
      <c r="B17" s="13" t="s">
        <v>139</v>
      </c>
      <c r="C17" s="13" t="s">
        <v>66</v>
      </c>
      <c r="D17" s="13" t="s">
        <v>145</v>
      </c>
      <c r="E17" s="13" t="s">
        <v>75</v>
      </c>
      <c r="F17" s="13" t="s">
        <v>151</v>
      </c>
      <c r="G17" s="13" t="s">
        <v>77</v>
      </c>
      <c r="H17" s="13" t="s">
        <v>152</v>
      </c>
      <c r="I17" s="13" t="s">
        <v>153</v>
      </c>
      <c r="J17" s="14"/>
      <c r="K17" s="14"/>
      <c r="L17" s="14"/>
      <c r="M17" s="14"/>
      <c r="N17" s="14"/>
      <c r="O17" s="14"/>
    </row>
    <row r="18" customFormat="false" ht="53.7" hidden="false" customHeight="false" outlineLevel="0" collapsed="false">
      <c r="A18" s="13" t="s">
        <v>154</v>
      </c>
      <c r="B18" s="13" t="s">
        <v>139</v>
      </c>
      <c r="C18" s="13" t="s">
        <v>66</v>
      </c>
      <c r="D18" s="13" t="s">
        <v>112</v>
      </c>
      <c r="E18" s="13" t="s">
        <v>155</v>
      </c>
      <c r="F18" s="13" t="s">
        <v>156</v>
      </c>
      <c r="G18" s="13" t="s">
        <v>77</v>
      </c>
      <c r="H18" s="13" t="s">
        <v>157</v>
      </c>
      <c r="I18" s="13" t="s">
        <v>158</v>
      </c>
      <c r="J18" s="14"/>
      <c r="K18" s="14"/>
      <c r="L18" s="14"/>
      <c r="M18" s="14"/>
      <c r="N18" s="14"/>
      <c r="O18" s="14"/>
    </row>
    <row r="19" customFormat="false" ht="53.7" hidden="false" customHeight="false" outlineLevel="0" collapsed="false">
      <c r="A19" s="13" t="s">
        <v>159</v>
      </c>
      <c r="B19" s="13" t="s">
        <v>160</v>
      </c>
      <c r="C19" s="13" t="s">
        <v>66</v>
      </c>
      <c r="D19" s="13" t="s">
        <v>67</v>
      </c>
      <c r="E19" s="13" t="s">
        <v>161</v>
      </c>
      <c r="F19" s="13" t="s">
        <v>162</v>
      </c>
      <c r="G19" s="13" t="s">
        <v>163</v>
      </c>
      <c r="H19" s="13" t="s">
        <v>164</v>
      </c>
      <c r="I19" s="13" t="s">
        <v>165</v>
      </c>
      <c r="J19" s="14"/>
      <c r="K19" s="14"/>
      <c r="L19" s="14"/>
      <c r="M19" s="14"/>
      <c r="N19" s="14"/>
      <c r="O19" s="14"/>
    </row>
    <row r="20" customFormat="false" ht="32.8" hidden="false" customHeight="false" outlineLevel="0" collapsed="false">
      <c r="A20" s="13" t="s">
        <v>166</v>
      </c>
      <c r="B20" s="13" t="s">
        <v>160</v>
      </c>
      <c r="C20" s="13" t="s">
        <v>99</v>
      </c>
      <c r="D20" s="13" t="s">
        <v>112</v>
      </c>
      <c r="E20" s="13" t="s">
        <v>167</v>
      </c>
      <c r="F20" s="13" t="s">
        <v>168</v>
      </c>
      <c r="G20" s="13" t="s">
        <v>169</v>
      </c>
      <c r="H20" s="13" t="s">
        <v>170</v>
      </c>
      <c r="I20" s="13" t="s">
        <v>171</v>
      </c>
      <c r="J20" s="14"/>
      <c r="K20" s="14"/>
      <c r="L20" s="14"/>
      <c r="M20" s="14"/>
      <c r="N20" s="14"/>
      <c r="O20" s="14"/>
    </row>
    <row r="21" customFormat="false" ht="32.8" hidden="false" customHeight="false" outlineLevel="0" collapsed="false">
      <c r="A21" s="13" t="s">
        <v>172</v>
      </c>
      <c r="B21" s="13" t="s">
        <v>160</v>
      </c>
      <c r="C21" s="13" t="s">
        <v>111</v>
      </c>
      <c r="D21" s="13" t="s">
        <v>112</v>
      </c>
      <c r="E21" s="13" t="s">
        <v>173</v>
      </c>
      <c r="F21" s="13" t="s">
        <v>174</v>
      </c>
      <c r="G21" s="13" t="s">
        <v>175</v>
      </c>
      <c r="H21" s="13" t="s">
        <v>176</v>
      </c>
      <c r="I21" s="13" t="s">
        <v>177</v>
      </c>
      <c r="J21" s="14"/>
      <c r="K21" s="14"/>
      <c r="L21" s="14"/>
      <c r="M21" s="14"/>
      <c r="N21" s="14"/>
      <c r="O21" s="14"/>
    </row>
    <row r="22" customFormat="false" ht="43.25" hidden="false" customHeight="false" outlineLevel="0" collapsed="false">
      <c r="A22" s="13" t="s">
        <v>178</v>
      </c>
      <c r="B22" s="13" t="s">
        <v>160</v>
      </c>
      <c r="C22" s="13" t="s">
        <v>66</v>
      </c>
      <c r="D22" s="13" t="s">
        <v>145</v>
      </c>
      <c r="E22" s="13" t="s">
        <v>179</v>
      </c>
      <c r="F22" s="13" t="s">
        <v>180</v>
      </c>
      <c r="G22" s="13" t="s">
        <v>181</v>
      </c>
      <c r="H22" s="13" t="s">
        <v>182</v>
      </c>
      <c r="I22" s="13" t="s">
        <v>183</v>
      </c>
      <c r="J22" s="14"/>
      <c r="K22" s="14"/>
      <c r="L22" s="14"/>
      <c r="M22" s="14"/>
      <c r="N22" s="14"/>
      <c r="O22" s="14"/>
    </row>
    <row r="23" customFormat="false" ht="74.6" hidden="false" customHeight="false" outlineLevel="0" collapsed="false">
      <c r="A23" s="13" t="s">
        <v>184</v>
      </c>
      <c r="B23" s="13" t="s">
        <v>185</v>
      </c>
      <c r="C23" s="13" t="s">
        <v>66</v>
      </c>
      <c r="D23" s="13" t="s">
        <v>67</v>
      </c>
      <c r="E23" s="13" t="s">
        <v>186</v>
      </c>
      <c r="F23" s="13" t="s">
        <v>187</v>
      </c>
      <c r="G23" s="13" t="s">
        <v>188</v>
      </c>
      <c r="H23" s="13" t="s">
        <v>189</v>
      </c>
      <c r="I23" s="13" t="s">
        <v>190</v>
      </c>
      <c r="J23" s="14"/>
      <c r="K23" s="14"/>
      <c r="L23" s="14"/>
      <c r="M23" s="14"/>
      <c r="N23" s="14"/>
      <c r="O23" s="14"/>
    </row>
    <row r="24" customFormat="false" ht="53.7" hidden="false" customHeight="false" outlineLevel="0" collapsed="false">
      <c r="A24" s="13" t="s">
        <v>191</v>
      </c>
      <c r="B24" s="13" t="s">
        <v>185</v>
      </c>
      <c r="C24" s="13" t="s">
        <v>111</v>
      </c>
      <c r="D24" s="13" t="s">
        <v>112</v>
      </c>
      <c r="E24" s="13" t="s">
        <v>118</v>
      </c>
      <c r="F24" s="13" t="s">
        <v>192</v>
      </c>
      <c r="G24" s="13" t="s">
        <v>77</v>
      </c>
      <c r="H24" s="13" t="s">
        <v>193</v>
      </c>
      <c r="I24" s="13" t="s">
        <v>194</v>
      </c>
      <c r="J24" s="14"/>
      <c r="K24" s="14"/>
      <c r="L24" s="14"/>
      <c r="M24" s="14"/>
      <c r="N24" s="14"/>
      <c r="O24" s="14"/>
    </row>
    <row r="25" customFormat="false" ht="32.8" hidden="false" customHeight="false" outlineLevel="0" collapsed="false">
      <c r="A25" s="13" t="s">
        <v>195</v>
      </c>
      <c r="B25" s="13" t="s">
        <v>185</v>
      </c>
      <c r="C25" s="13" t="s">
        <v>196</v>
      </c>
      <c r="D25" s="13" t="s">
        <v>112</v>
      </c>
      <c r="E25" s="13" t="s">
        <v>197</v>
      </c>
      <c r="F25" s="13" t="s">
        <v>198</v>
      </c>
      <c r="G25" s="13" t="s">
        <v>199</v>
      </c>
      <c r="H25" s="13" t="s">
        <v>200</v>
      </c>
      <c r="I25" s="13" t="s">
        <v>201</v>
      </c>
      <c r="J25" s="14"/>
      <c r="K25" s="14"/>
      <c r="L25" s="14"/>
      <c r="M25" s="14"/>
      <c r="N25" s="14"/>
      <c r="O25" s="14"/>
    </row>
    <row r="26" customFormat="false" ht="53.7" hidden="false" customHeight="false" outlineLevel="0" collapsed="false">
      <c r="A26" s="13" t="s">
        <v>202</v>
      </c>
      <c r="B26" s="13" t="s">
        <v>185</v>
      </c>
      <c r="C26" s="13" t="s">
        <v>66</v>
      </c>
      <c r="D26" s="13" t="s">
        <v>145</v>
      </c>
      <c r="E26" s="13" t="s">
        <v>203</v>
      </c>
      <c r="F26" s="13" t="s">
        <v>204</v>
      </c>
      <c r="G26" s="13" t="s">
        <v>77</v>
      </c>
      <c r="H26" s="13" t="s">
        <v>205</v>
      </c>
      <c r="I26" s="13" t="s">
        <v>206</v>
      </c>
      <c r="J26" s="14"/>
      <c r="K26" s="14"/>
      <c r="L26" s="14"/>
      <c r="M26" s="14"/>
      <c r="N26" s="14"/>
      <c r="O26" s="14"/>
    </row>
    <row r="27" customFormat="false" ht="43.25" hidden="false" customHeight="false" outlineLevel="0" collapsed="false">
      <c r="A27" s="13" t="s">
        <v>207</v>
      </c>
      <c r="B27" s="13" t="s">
        <v>185</v>
      </c>
      <c r="C27" s="13" t="s">
        <v>66</v>
      </c>
      <c r="D27" s="13" t="s">
        <v>145</v>
      </c>
      <c r="E27" s="13" t="s">
        <v>208</v>
      </c>
      <c r="F27" s="13" t="s">
        <v>209</v>
      </c>
      <c r="G27" s="13" t="s">
        <v>210</v>
      </c>
      <c r="H27" s="13" t="s">
        <v>211</v>
      </c>
      <c r="I27" s="13" t="s">
        <v>212</v>
      </c>
      <c r="J27" s="14"/>
      <c r="K27" s="14"/>
      <c r="L27" s="14"/>
      <c r="M27" s="14"/>
      <c r="N27" s="14"/>
      <c r="O27" s="14"/>
    </row>
    <row r="28" customFormat="false" ht="43.25" hidden="false" customHeight="false" outlineLevel="0" collapsed="false">
      <c r="A28" s="13" t="s">
        <v>213</v>
      </c>
      <c r="B28" s="13" t="s">
        <v>214</v>
      </c>
      <c r="C28" s="13" t="s">
        <v>66</v>
      </c>
      <c r="D28" s="13" t="s">
        <v>67</v>
      </c>
      <c r="E28" s="13" t="s">
        <v>179</v>
      </c>
      <c r="F28" s="13" t="s">
        <v>215</v>
      </c>
      <c r="G28" s="13" t="s">
        <v>216</v>
      </c>
      <c r="H28" s="13" t="s">
        <v>217</v>
      </c>
      <c r="I28" s="13" t="s">
        <v>218</v>
      </c>
      <c r="J28" s="14"/>
      <c r="K28" s="14"/>
      <c r="L28" s="14"/>
      <c r="M28" s="14"/>
      <c r="N28" s="14"/>
      <c r="O28" s="14"/>
    </row>
    <row r="29" customFormat="false" ht="32.8" hidden="false" customHeight="false" outlineLevel="0" collapsed="false">
      <c r="A29" s="13" t="s">
        <v>219</v>
      </c>
      <c r="B29" s="13" t="s">
        <v>214</v>
      </c>
      <c r="C29" s="13" t="s">
        <v>66</v>
      </c>
      <c r="D29" s="13" t="s">
        <v>67</v>
      </c>
      <c r="E29" s="13" t="s">
        <v>179</v>
      </c>
      <c r="F29" s="13" t="s">
        <v>220</v>
      </c>
      <c r="G29" s="13" t="s">
        <v>221</v>
      </c>
      <c r="H29" s="13" t="s">
        <v>222</v>
      </c>
      <c r="I29" s="13" t="s">
        <v>223</v>
      </c>
      <c r="J29" s="14"/>
      <c r="K29" s="14"/>
      <c r="L29" s="14"/>
      <c r="M29" s="14"/>
      <c r="N29" s="14"/>
      <c r="O29" s="14"/>
    </row>
  </sheetData>
  <autoFilter ref="A1:O29"/>
  <conditionalFormatting sqref="J2:J200">
    <cfRule type="cellIs" priority="2" operator="equal" aboveAverage="0" equalAverage="0" bottom="0" percent="0" rank="0" text="" dxfId="4">
      <formula>"Passed"</formula>
    </cfRule>
    <cfRule type="cellIs" priority="3" operator="equal" aboveAverage="0" equalAverage="0" bottom="0" percent="0" rank="0" text="" dxfId="5">
      <formula>"Failed"</formula>
    </cfRule>
    <cfRule type="cellIs" priority="4" operator="equal" aboveAverage="0" equalAverage="0" bottom="0" percent="0" rank="0" text="" dxfId="6">
      <formula>"Blocked"</formula>
    </cfRule>
    <cfRule type="cellIs" priority="5" operator="equal" aboveAverage="0" equalAverage="0" bottom="0" percent="0" rank="0" text="" dxfId="7">
      <formula>"Not run"</formula>
    </cfRule>
  </conditionalFormatting>
  <dataValidations count="1">
    <dataValidation allowBlank="true" errorStyle="stop" operator="between" showDropDown="false" showErrorMessage="false" showInputMessage="false" sqref="J2:J200" type="list">
      <formula1>"Passed,Failed,Blocked,Not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12"/>
    <col collapsed="false" customWidth="true" hidden="false" outlineLevel="0" max="7" min="7" style="0" width="11"/>
  </cols>
  <sheetData>
    <row r="1" customFormat="false" ht="23.85" hidden="false" customHeight="false" outlineLevel="0" collapsed="false">
      <c r="A1" s="12" t="s">
        <v>50</v>
      </c>
      <c r="B1" s="12" t="s">
        <v>224</v>
      </c>
      <c r="C1" s="12" t="s">
        <v>225</v>
      </c>
      <c r="D1" s="12" t="s">
        <v>226</v>
      </c>
      <c r="E1" s="12" t="s">
        <v>227</v>
      </c>
      <c r="F1" s="12" t="s">
        <v>228</v>
      </c>
      <c r="G1" s="12" t="s">
        <v>42</v>
      </c>
    </row>
    <row r="2" customFormat="false" ht="32.8" hidden="false" customHeight="false" outlineLevel="0" collapsed="false">
      <c r="A2" s="13" t="s">
        <v>229</v>
      </c>
      <c r="B2" s="13" t="s">
        <v>230</v>
      </c>
      <c r="C2" s="13" t="s">
        <v>231</v>
      </c>
      <c r="D2" s="13" t="s">
        <v>232</v>
      </c>
      <c r="E2" s="13" t="s">
        <v>233</v>
      </c>
      <c r="F2" s="13" t="s">
        <v>234</v>
      </c>
      <c r="G2" s="15" t="s">
        <v>235</v>
      </c>
    </row>
    <row r="3" customFormat="false" ht="32.8" hidden="false" customHeight="false" outlineLevel="0" collapsed="false">
      <c r="A3" s="13" t="s">
        <v>236</v>
      </c>
      <c r="B3" s="13" t="s">
        <v>237</v>
      </c>
      <c r="C3" s="13" t="s">
        <v>238</v>
      </c>
      <c r="D3" s="13" t="s">
        <v>239</v>
      </c>
      <c r="E3" s="13" t="s">
        <v>240</v>
      </c>
      <c r="F3" s="13" t="s">
        <v>234</v>
      </c>
      <c r="G3" s="15" t="s">
        <v>235</v>
      </c>
    </row>
    <row r="4" customFormat="false" ht="22.35" hidden="false" customHeight="false" outlineLevel="0" collapsed="false">
      <c r="A4" s="13" t="s">
        <v>241</v>
      </c>
      <c r="B4" s="13" t="s">
        <v>242</v>
      </c>
      <c r="C4" s="13" t="s">
        <v>243</v>
      </c>
      <c r="D4" s="13" t="s">
        <v>244</v>
      </c>
      <c r="E4" s="13" t="s">
        <v>233</v>
      </c>
      <c r="F4" s="13" t="s">
        <v>234</v>
      </c>
      <c r="G4" s="15" t="s">
        <v>235</v>
      </c>
    </row>
    <row r="5" customFormat="false" ht="32.8" hidden="false" customHeight="false" outlineLevel="0" collapsed="false">
      <c r="A5" s="13" t="s">
        <v>245</v>
      </c>
      <c r="B5" s="13" t="s">
        <v>246</v>
      </c>
      <c r="C5" s="13" t="s">
        <v>247</v>
      </c>
      <c r="D5" s="13" t="s">
        <v>244</v>
      </c>
      <c r="E5" s="13" t="s">
        <v>233</v>
      </c>
      <c r="F5" s="13" t="s">
        <v>234</v>
      </c>
      <c r="G5" s="15" t="s">
        <v>235</v>
      </c>
    </row>
    <row r="6" customFormat="false" ht="32.8" hidden="false" customHeight="false" outlineLevel="0" collapsed="false">
      <c r="A6" s="13" t="s">
        <v>248</v>
      </c>
      <c r="B6" s="13" t="s">
        <v>249</v>
      </c>
      <c r="C6" s="13" t="s">
        <v>250</v>
      </c>
      <c r="D6" s="13" t="s">
        <v>251</v>
      </c>
      <c r="E6" s="14"/>
      <c r="F6" s="14"/>
      <c r="G6" s="16" t="s">
        <v>252</v>
      </c>
    </row>
    <row r="7" customFormat="false" ht="32.8" hidden="false" customHeight="false" outlineLevel="0" collapsed="false">
      <c r="A7" s="13" t="s">
        <v>253</v>
      </c>
      <c r="B7" s="13" t="s">
        <v>254</v>
      </c>
      <c r="C7" s="13" t="s">
        <v>255</v>
      </c>
      <c r="D7" s="13" t="s">
        <v>256</v>
      </c>
      <c r="E7" s="14"/>
      <c r="F7" s="14"/>
      <c r="G7" s="16" t="s">
        <v>252</v>
      </c>
    </row>
    <row r="8" customFormat="false" ht="32.8" hidden="false" customHeight="false" outlineLevel="0" collapsed="false">
      <c r="A8" s="13" t="s">
        <v>257</v>
      </c>
      <c r="B8" s="13" t="s">
        <v>258</v>
      </c>
      <c r="C8" s="13" t="s">
        <v>259</v>
      </c>
      <c r="D8" s="13" t="s">
        <v>260</v>
      </c>
      <c r="E8" s="13" t="s">
        <v>261</v>
      </c>
      <c r="F8" s="13" t="s">
        <v>234</v>
      </c>
      <c r="G8" s="15" t="s">
        <v>235</v>
      </c>
    </row>
    <row r="9" customFormat="false" ht="22.35" hidden="false" customHeight="false" outlineLevel="0" collapsed="false">
      <c r="A9" s="13" t="s">
        <v>262</v>
      </c>
      <c r="B9" s="13" t="s">
        <v>263</v>
      </c>
      <c r="C9" s="13" t="s">
        <v>264</v>
      </c>
      <c r="D9" s="13" t="s">
        <v>178</v>
      </c>
      <c r="E9" s="14"/>
      <c r="F9" s="14"/>
      <c r="G9" s="16" t="s">
        <v>252</v>
      </c>
    </row>
    <row r="10" customFormat="false" ht="22.35" hidden="false" customHeight="false" outlineLevel="0" collapsed="false">
      <c r="A10" s="13" t="s">
        <v>265</v>
      </c>
      <c r="B10" s="13" t="s">
        <v>266</v>
      </c>
      <c r="C10" s="13" t="s">
        <v>267</v>
      </c>
      <c r="D10" s="13" t="s">
        <v>260</v>
      </c>
      <c r="E10" s="13" t="s">
        <v>233</v>
      </c>
      <c r="F10" s="13" t="s">
        <v>234</v>
      </c>
      <c r="G10" s="15" t="s">
        <v>235</v>
      </c>
    </row>
    <row r="11" customFormat="false" ht="32.8" hidden="false" customHeight="false" outlineLevel="0" collapsed="false">
      <c r="A11" s="13" t="s">
        <v>268</v>
      </c>
      <c r="B11" s="13" t="s">
        <v>269</v>
      </c>
      <c r="C11" s="13" t="s">
        <v>270</v>
      </c>
      <c r="D11" s="13" t="s">
        <v>271</v>
      </c>
      <c r="E11" s="13" t="s">
        <v>233</v>
      </c>
      <c r="F11" s="13" t="s">
        <v>234</v>
      </c>
      <c r="G11" s="15" t="s">
        <v>235</v>
      </c>
    </row>
    <row r="12" customFormat="false" ht="22.35" hidden="false" customHeight="false" outlineLevel="0" collapsed="false">
      <c r="A12" s="13" t="s">
        <v>272</v>
      </c>
      <c r="B12" s="13" t="s">
        <v>273</v>
      </c>
      <c r="C12" s="13" t="s">
        <v>274</v>
      </c>
      <c r="D12" s="13" t="s">
        <v>271</v>
      </c>
      <c r="E12" s="13" t="s">
        <v>233</v>
      </c>
      <c r="F12" s="13" t="s">
        <v>234</v>
      </c>
      <c r="G12" s="15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2026-10-16T08:53:04Z</dcterms:created>
  <dc:creator>openpyxl</dc:creator>
  <dc:description/>
  <dc:language>en-US</dc:language>
  <cp:lastModifiedBy/>
  <dcterms:modified xsi:type="dcterms:W3CDTF">2026-10-16T08:53:04Z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